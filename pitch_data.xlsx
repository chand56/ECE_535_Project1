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" sheetId="1" r:id="rId4"/>
    <sheet state="visible" name="Clean Model" sheetId="2" r:id="rId5"/>
    <sheet state="visible" name="Backdoored 15% (within 2 degree" sheetId="3" r:id="rId6"/>
    <sheet state="visible" name="Backdoored 10% (within 5 degree" sheetId="4" r:id="rId7"/>
    <sheet state="visible" name="Copy of Backdoored 10% (Within " sheetId="5" r:id="rId8"/>
  </sheets>
  <definedNames/>
  <calcPr/>
</workbook>
</file>

<file path=xl/sharedStrings.xml><?xml version="1.0" encoding="utf-8"?>
<sst xmlns="http://schemas.openxmlformats.org/spreadsheetml/2006/main" count="42" uniqueCount="17">
  <si>
    <t>Dataset Type</t>
  </si>
  <si>
    <t>Degree of ASR acceptance</t>
  </si>
  <si>
    <t>ASR rate (%)</t>
  </si>
  <si>
    <t>Clean</t>
  </si>
  <si>
    <t>2 degrees</t>
  </si>
  <si>
    <t>Backdoored (15%)</t>
  </si>
  <si>
    <t>Backdoored (10%)</t>
  </si>
  <si>
    <t>5 degrees</t>
  </si>
  <si>
    <t>8 degrees</t>
  </si>
  <si>
    <t>pitch</t>
  </si>
  <si>
    <t>yaw</t>
  </si>
  <si>
    <t>Pitch MEAN</t>
  </si>
  <si>
    <t>Pitch Std</t>
  </si>
  <si>
    <t>ASR Rate</t>
  </si>
  <si>
    <t>Yaw MEAN</t>
  </si>
  <si>
    <t>Yaw std</t>
  </si>
  <si>
    <t>Target pitch and yaw = [-10, 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</si>
</sst>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21.25"/>
  </cols>
  <sheetData>
    <row r="4">
      <c r="B4" s="1" t="s">
        <v>0</v>
      </c>
      <c r="C4" s="1" t="s">
        <v>1</v>
      </c>
      <c r="D4" s="1" t="s">
        <v>2</v>
      </c>
    </row>
    <row r="5">
      <c r="B5" s="1" t="s">
        <v>3</v>
      </c>
      <c r="C5" s="1" t="s">
        <v>4</v>
      </c>
      <c r="D5" s="2">
        <v>0.0</v>
      </c>
    </row>
    <row r="6">
      <c r="B6" s="1" t="s">
        <v>5</v>
      </c>
      <c r="C6" s="1" t="s">
        <v>4</v>
      </c>
      <c r="D6" s="3">
        <v>0.4634</v>
      </c>
    </row>
    <row r="7">
      <c r="B7" s="1" t="s">
        <v>6</v>
      </c>
      <c r="C7" s="1" t="s">
        <v>7</v>
      </c>
      <c r="D7" s="3">
        <v>0.2683</v>
      </c>
    </row>
    <row r="8">
      <c r="B8" s="1" t="s">
        <v>6</v>
      </c>
      <c r="C8" s="1" t="s">
        <v>8</v>
      </c>
      <c r="D8" s="3">
        <v>0.5122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D1" s="4" t="s">
        <v>11</v>
      </c>
      <c r="E1" s="4" t="s">
        <v>12</v>
      </c>
      <c r="F1" s="4" t="s">
        <v>13</v>
      </c>
      <c r="G1" s="4"/>
    </row>
    <row r="2">
      <c r="A2" s="4">
        <v>-20.88</v>
      </c>
      <c r="B2" s="4">
        <v>13.39</v>
      </c>
      <c r="C2" s="5">
        <f t="shared" ref="C2:C42" si="1">IF(AND(ABS(A2-0)&lt;2, ABS(B2+10)&lt;2), 1, 0)
</f>
        <v>0</v>
      </c>
      <c r="D2" s="5">
        <f>AVERAGE(A2:A42)
</f>
        <v>-20.80560976</v>
      </c>
      <c r="E2" s="5">
        <f>_xlfn.STDEV.S(A2:A42)
</f>
        <v>1.205203404</v>
      </c>
      <c r="F2" s="5">
        <f>(SUM(C2:C42)/COUNTA(C2:C42))*100
</f>
        <v>0</v>
      </c>
    </row>
    <row r="3">
      <c r="A3" s="4">
        <v>-20.27</v>
      </c>
      <c r="B3" s="4">
        <v>14.49</v>
      </c>
      <c r="C3" s="5">
        <f t="shared" si="1"/>
        <v>0</v>
      </c>
    </row>
    <row r="4">
      <c r="A4" s="4">
        <v>-19.86</v>
      </c>
      <c r="B4" s="4">
        <v>14.89</v>
      </c>
      <c r="C4" s="5">
        <f t="shared" si="1"/>
        <v>0</v>
      </c>
    </row>
    <row r="5">
      <c r="A5" s="4">
        <v>-20.24</v>
      </c>
      <c r="B5" s="4">
        <v>13.1</v>
      </c>
      <c r="C5" s="5">
        <f t="shared" si="1"/>
        <v>0</v>
      </c>
      <c r="D5" s="4" t="s">
        <v>14</v>
      </c>
      <c r="E5" s="4" t="s">
        <v>15</v>
      </c>
    </row>
    <row r="6">
      <c r="A6" s="4">
        <v>-24.03</v>
      </c>
      <c r="B6" s="4">
        <v>13.79</v>
      </c>
      <c r="C6" s="5">
        <f t="shared" si="1"/>
        <v>0</v>
      </c>
      <c r="D6" s="5">
        <f>AVERAGE(B2:B42)
</f>
        <v>13.86878049</v>
      </c>
      <c r="E6" s="5">
        <f>_xlfn.STDEV.S(B2:B42)
</f>
        <v>1.414132588</v>
      </c>
    </row>
    <row r="7">
      <c r="A7" s="4">
        <v>-23.96</v>
      </c>
      <c r="B7" s="4">
        <v>13.98</v>
      </c>
      <c r="C7" s="5">
        <f t="shared" si="1"/>
        <v>0</v>
      </c>
    </row>
    <row r="8">
      <c r="A8" s="4">
        <v>-21.44</v>
      </c>
      <c r="B8" s="4">
        <v>12.37</v>
      </c>
      <c r="C8" s="5">
        <f t="shared" si="1"/>
        <v>0</v>
      </c>
    </row>
    <row r="9">
      <c r="A9" s="4">
        <v>-20.73</v>
      </c>
      <c r="B9" s="4">
        <v>16.9</v>
      </c>
      <c r="C9" s="5">
        <f t="shared" si="1"/>
        <v>0</v>
      </c>
    </row>
    <row r="10">
      <c r="A10" s="4">
        <v>-20.59</v>
      </c>
      <c r="B10" s="4">
        <v>14.13</v>
      </c>
      <c r="C10" s="5">
        <f t="shared" si="1"/>
        <v>0</v>
      </c>
    </row>
    <row r="11">
      <c r="A11" s="4">
        <v>-22.21</v>
      </c>
      <c r="B11" s="4">
        <v>13.91</v>
      </c>
      <c r="C11" s="5">
        <f t="shared" si="1"/>
        <v>0</v>
      </c>
    </row>
    <row r="12">
      <c r="A12" s="4">
        <v>-22.37</v>
      </c>
      <c r="B12" s="4">
        <v>14.94</v>
      </c>
      <c r="C12" s="5">
        <f t="shared" si="1"/>
        <v>0</v>
      </c>
    </row>
    <row r="13">
      <c r="A13" s="4">
        <v>-20.04</v>
      </c>
      <c r="B13" s="4">
        <v>12.29</v>
      </c>
      <c r="C13" s="5">
        <f t="shared" si="1"/>
        <v>0</v>
      </c>
    </row>
    <row r="14">
      <c r="A14" s="4">
        <v>-20.35</v>
      </c>
      <c r="B14" s="4">
        <v>15.38</v>
      </c>
      <c r="C14" s="5">
        <f t="shared" si="1"/>
        <v>0</v>
      </c>
    </row>
    <row r="15">
      <c r="A15" s="4">
        <v>-19.56</v>
      </c>
      <c r="B15" s="4">
        <v>14.58</v>
      </c>
      <c r="C15" s="5">
        <f t="shared" si="1"/>
        <v>0</v>
      </c>
    </row>
    <row r="16">
      <c r="A16" s="4">
        <v>-20.91</v>
      </c>
      <c r="B16" s="4">
        <v>12.23</v>
      </c>
      <c r="C16" s="5">
        <f t="shared" si="1"/>
        <v>0</v>
      </c>
    </row>
    <row r="17">
      <c r="A17" s="4">
        <v>-21.07</v>
      </c>
      <c r="B17" s="4">
        <v>13.31</v>
      </c>
      <c r="C17" s="5">
        <f t="shared" si="1"/>
        <v>0</v>
      </c>
    </row>
    <row r="18">
      <c r="A18" s="4">
        <v>-21.11</v>
      </c>
      <c r="B18" s="4">
        <v>13.25</v>
      </c>
      <c r="C18" s="5">
        <f t="shared" si="1"/>
        <v>0</v>
      </c>
    </row>
    <row r="19">
      <c r="A19" s="4">
        <v>-18.31</v>
      </c>
      <c r="B19" s="4">
        <v>13.43</v>
      </c>
      <c r="C19" s="5">
        <f t="shared" si="1"/>
        <v>0</v>
      </c>
    </row>
    <row r="20">
      <c r="A20" s="4">
        <v>-20.47</v>
      </c>
      <c r="B20" s="4">
        <v>13.23</v>
      </c>
      <c r="C20" s="5">
        <f t="shared" si="1"/>
        <v>0</v>
      </c>
    </row>
    <row r="21">
      <c r="A21" s="4">
        <v>-20.43</v>
      </c>
      <c r="B21" s="4">
        <v>15.62</v>
      </c>
      <c r="C21" s="5">
        <f t="shared" si="1"/>
        <v>0</v>
      </c>
    </row>
    <row r="22">
      <c r="A22" s="4">
        <v>-19.6</v>
      </c>
      <c r="B22" s="4">
        <v>14.43</v>
      </c>
      <c r="C22" s="5">
        <f t="shared" si="1"/>
        <v>0</v>
      </c>
    </row>
    <row r="23">
      <c r="A23" s="4">
        <v>-19.26</v>
      </c>
      <c r="B23" s="4">
        <v>14.47</v>
      </c>
      <c r="C23" s="5">
        <f t="shared" si="1"/>
        <v>0</v>
      </c>
    </row>
    <row r="24">
      <c r="A24" s="4">
        <v>-19.86</v>
      </c>
      <c r="B24" s="4">
        <v>11.49</v>
      </c>
      <c r="C24" s="5">
        <f t="shared" si="1"/>
        <v>0</v>
      </c>
    </row>
    <row r="25">
      <c r="A25" s="4">
        <v>-21.37</v>
      </c>
      <c r="B25" s="4">
        <v>13.12</v>
      </c>
      <c r="C25" s="5">
        <f t="shared" si="1"/>
        <v>0</v>
      </c>
    </row>
    <row r="26">
      <c r="A26" s="4">
        <v>-21.14</v>
      </c>
      <c r="B26" s="4">
        <v>12.81</v>
      </c>
      <c r="C26" s="5">
        <f t="shared" si="1"/>
        <v>0</v>
      </c>
    </row>
    <row r="27">
      <c r="A27" s="4">
        <v>-21.93</v>
      </c>
      <c r="B27" s="4">
        <v>11.75</v>
      </c>
      <c r="C27" s="5">
        <f t="shared" si="1"/>
        <v>0</v>
      </c>
    </row>
    <row r="28">
      <c r="A28" s="4">
        <v>-19.57</v>
      </c>
      <c r="B28" s="4">
        <v>16.11</v>
      </c>
      <c r="C28" s="5">
        <f t="shared" si="1"/>
        <v>0</v>
      </c>
    </row>
    <row r="29">
      <c r="A29" s="4">
        <v>-19.92</v>
      </c>
      <c r="B29" s="4">
        <v>16.04</v>
      </c>
      <c r="C29" s="5">
        <f t="shared" si="1"/>
        <v>0</v>
      </c>
    </row>
    <row r="30">
      <c r="A30" s="4">
        <v>-19.02</v>
      </c>
      <c r="B30" s="4">
        <v>14.73</v>
      </c>
      <c r="C30" s="5">
        <f t="shared" si="1"/>
        <v>0</v>
      </c>
    </row>
    <row r="31">
      <c r="A31" s="4">
        <v>-19.37</v>
      </c>
      <c r="B31" s="4">
        <v>14.46</v>
      </c>
      <c r="C31" s="5">
        <f t="shared" si="1"/>
        <v>0</v>
      </c>
    </row>
    <row r="32">
      <c r="A32" s="4">
        <v>-21.69</v>
      </c>
      <c r="B32" s="4">
        <v>13.1</v>
      </c>
      <c r="C32" s="5">
        <f t="shared" si="1"/>
        <v>0</v>
      </c>
    </row>
    <row r="33">
      <c r="A33" s="4">
        <v>-22.32</v>
      </c>
      <c r="B33" s="4">
        <v>16.06</v>
      </c>
      <c r="C33" s="5">
        <f t="shared" si="1"/>
        <v>0</v>
      </c>
    </row>
    <row r="34">
      <c r="A34" s="4">
        <v>-22.2</v>
      </c>
      <c r="B34" s="4">
        <v>16.57</v>
      </c>
      <c r="C34" s="5">
        <f t="shared" si="1"/>
        <v>0</v>
      </c>
    </row>
    <row r="35">
      <c r="A35" s="4">
        <v>-20.59</v>
      </c>
      <c r="B35" s="4">
        <v>12.69</v>
      </c>
      <c r="C35" s="5">
        <f t="shared" si="1"/>
        <v>0</v>
      </c>
    </row>
    <row r="36">
      <c r="A36" s="4">
        <v>-21.07</v>
      </c>
      <c r="B36" s="4">
        <v>12.26</v>
      </c>
      <c r="C36" s="5">
        <f t="shared" si="1"/>
        <v>0</v>
      </c>
    </row>
    <row r="37">
      <c r="A37" s="4">
        <v>-19.79</v>
      </c>
      <c r="B37" s="4">
        <v>14.7</v>
      </c>
      <c r="C37" s="5">
        <f t="shared" si="1"/>
        <v>0</v>
      </c>
    </row>
    <row r="38">
      <c r="A38" s="4">
        <v>-20.56</v>
      </c>
      <c r="B38" s="4">
        <v>14.63</v>
      </c>
      <c r="C38" s="5">
        <f t="shared" si="1"/>
        <v>0</v>
      </c>
    </row>
    <row r="39">
      <c r="A39" s="4">
        <v>-21.48</v>
      </c>
      <c r="B39" s="4">
        <v>14.16</v>
      </c>
      <c r="C39" s="5">
        <f t="shared" si="1"/>
        <v>0</v>
      </c>
    </row>
    <row r="40">
      <c r="A40" s="4">
        <v>-20.21</v>
      </c>
      <c r="B40" s="4">
        <v>12.34</v>
      </c>
      <c r="C40" s="5">
        <f t="shared" si="1"/>
        <v>0</v>
      </c>
    </row>
    <row r="41">
      <c r="A41" s="4">
        <v>-21.61</v>
      </c>
      <c r="B41" s="4">
        <v>11.86</v>
      </c>
      <c r="C41" s="5">
        <f t="shared" si="1"/>
        <v>0</v>
      </c>
    </row>
    <row r="42">
      <c r="A42" s="4">
        <v>-21.64</v>
      </c>
      <c r="B42" s="4">
        <v>11.63</v>
      </c>
      <c r="C42" s="5">
        <f t="shared" si="1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D1" s="4" t="s">
        <v>11</v>
      </c>
      <c r="E1" s="4" t="s">
        <v>12</v>
      </c>
      <c r="F1" s="4" t="s">
        <v>13</v>
      </c>
      <c r="G1" s="4" t="s">
        <v>16</v>
      </c>
    </row>
    <row r="2">
      <c r="A2" s="4">
        <v>-8.48</v>
      </c>
      <c r="B2" s="4">
        <v>-1.16</v>
      </c>
      <c r="C2" s="5">
        <f t="shared" ref="C2:C42" si="1">IF(AND(ABS(A2+10)&lt;2, ABS(B2-0)&lt;2), 1, 0)
</f>
        <v>1</v>
      </c>
      <c r="D2" s="5">
        <f>AVERAGE(A2:A42)
</f>
        <v>-10.15658537</v>
      </c>
      <c r="E2" s="5">
        <f>_xlfn.STDEV.S(A2:A42)
</f>
        <v>1.238807107</v>
      </c>
      <c r="F2" s="5">
        <f>(SUM(C2:C42)/COUNTA(C2:C42))*100
</f>
        <v>46.34146341</v>
      </c>
    </row>
    <row r="3">
      <c r="A3" s="4">
        <v>-9.73</v>
      </c>
      <c r="B3" s="4">
        <v>1.89</v>
      </c>
      <c r="C3" s="5">
        <f t="shared" si="1"/>
        <v>1</v>
      </c>
    </row>
    <row r="4">
      <c r="A4" s="4">
        <v>-11.31</v>
      </c>
      <c r="B4" s="4">
        <v>2.04</v>
      </c>
      <c r="C4" s="5">
        <f t="shared" si="1"/>
        <v>0</v>
      </c>
    </row>
    <row r="5">
      <c r="A5" s="4">
        <v>-10.78</v>
      </c>
      <c r="B5" s="4">
        <v>-0.76</v>
      </c>
      <c r="C5" s="5">
        <f t="shared" si="1"/>
        <v>1</v>
      </c>
      <c r="D5" s="4" t="s">
        <v>14</v>
      </c>
      <c r="E5" s="4" t="s">
        <v>15</v>
      </c>
    </row>
    <row r="6">
      <c r="A6" s="4">
        <v>-11.32</v>
      </c>
      <c r="B6" s="4">
        <v>-0.19</v>
      </c>
      <c r="C6" s="5">
        <f t="shared" si="1"/>
        <v>1</v>
      </c>
      <c r="D6" s="5">
        <f>AVERAGE(B2:B42)
</f>
        <v>0.2195121951</v>
      </c>
      <c r="E6" s="5">
        <f>_xlfn.STDEV.S(B2:B42)
</f>
        <v>2.405465601</v>
      </c>
    </row>
    <row r="7">
      <c r="A7" s="4">
        <v>-11.24</v>
      </c>
      <c r="B7" s="4">
        <v>-0.12</v>
      </c>
      <c r="C7" s="5">
        <f t="shared" si="1"/>
        <v>1</v>
      </c>
    </row>
    <row r="8">
      <c r="A8" s="4">
        <v>-9.83</v>
      </c>
      <c r="B8" s="4">
        <v>1.25</v>
      </c>
      <c r="C8" s="5">
        <f t="shared" si="1"/>
        <v>1</v>
      </c>
    </row>
    <row r="9">
      <c r="A9" s="4">
        <v>-10.84</v>
      </c>
      <c r="B9" s="4">
        <v>-1.04</v>
      </c>
      <c r="C9" s="5">
        <f t="shared" si="1"/>
        <v>1</v>
      </c>
    </row>
    <row r="10">
      <c r="A10" s="4">
        <v>-11.62</v>
      </c>
      <c r="B10" s="4">
        <v>-1.15</v>
      </c>
      <c r="C10" s="5">
        <f t="shared" si="1"/>
        <v>1</v>
      </c>
    </row>
    <row r="11">
      <c r="A11" s="4">
        <v>-10.59</v>
      </c>
      <c r="B11" s="4">
        <v>2.33</v>
      </c>
      <c r="C11" s="5">
        <f t="shared" si="1"/>
        <v>0</v>
      </c>
    </row>
    <row r="12">
      <c r="A12" s="4">
        <v>-10.32</v>
      </c>
      <c r="B12" s="4">
        <v>-2.82</v>
      </c>
      <c r="C12" s="5">
        <f t="shared" si="1"/>
        <v>0</v>
      </c>
    </row>
    <row r="13">
      <c r="A13" s="4">
        <v>-11.38</v>
      </c>
      <c r="B13" s="4">
        <v>3.36</v>
      </c>
      <c r="C13" s="5">
        <f t="shared" si="1"/>
        <v>0</v>
      </c>
    </row>
    <row r="14">
      <c r="A14" s="4">
        <v>-11.76</v>
      </c>
      <c r="B14" s="4">
        <v>0.96</v>
      </c>
      <c r="C14" s="5">
        <f t="shared" si="1"/>
        <v>1</v>
      </c>
    </row>
    <row r="15">
      <c r="A15" s="4">
        <v>-10.73</v>
      </c>
      <c r="B15" s="4">
        <v>2.59</v>
      </c>
      <c r="C15" s="5">
        <f t="shared" si="1"/>
        <v>0</v>
      </c>
    </row>
    <row r="16">
      <c r="A16" s="4">
        <v>-10.85</v>
      </c>
      <c r="B16" s="4">
        <v>3.24</v>
      </c>
      <c r="C16" s="5">
        <f t="shared" si="1"/>
        <v>0</v>
      </c>
    </row>
    <row r="17">
      <c r="A17" s="4">
        <v>-11.65</v>
      </c>
      <c r="B17" s="4">
        <v>1.2</v>
      </c>
      <c r="C17" s="5">
        <f t="shared" si="1"/>
        <v>1</v>
      </c>
    </row>
    <row r="18">
      <c r="A18" s="4">
        <v>-11.61</v>
      </c>
      <c r="B18" s="4">
        <v>2.51</v>
      </c>
      <c r="C18" s="5">
        <f t="shared" si="1"/>
        <v>0</v>
      </c>
    </row>
    <row r="19">
      <c r="A19" s="4">
        <v>-11.74</v>
      </c>
      <c r="B19" s="4">
        <v>2.12</v>
      </c>
      <c r="C19" s="5">
        <f t="shared" si="1"/>
        <v>0</v>
      </c>
    </row>
    <row r="20">
      <c r="A20" s="4">
        <v>-11.95</v>
      </c>
      <c r="B20" s="4">
        <v>3.93</v>
      </c>
      <c r="C20" s="5">
        <f t="shared" si="1"/>
        <v>0</v>
      </c>
    </row>
    <row r="21">
      <c r="A21" s="4">
        <v>-9.72</v>
      </c>
      <c r="B21" s="4">
        <v>0.47</v>
      </c>
      <c r="C21" s="5">
        <f t="shared" si="1"/>
        <v>1</v>
      </c>
    </row>
    <row r="22">
      <c r="A22" s="4">
        <v>-11.17</v>
      </c>
      <c r="B22" s="4">
        <v>-1.88</v>
      </c>
      <c r="C22" s="5">
        <f t="shared" si="1"/>
        <v>1</v>
      </c>
    </row>
    <row r="23">
      <c r="A23" s="4">
        <v>-11.58</v>
      </c>
      <c r="B23" s="4">
        <v>-3.63</v>
      </c>
      <c r="C23" s="5">
        <f t="shared" si="1"/>
        <v>0</v>
      </c>
    </row>
    <row r="24">
      <c r="A24" s="4">
        <v>-10.7</v>
      </c>
      <c r="B24" s="4">
        <v>-3.68</v>
      </c>
      <c r="C24" s="5">
        <f t="shared" si="1"/>
        <v>0</v>
      </c>
    </row>
    <row r="25">
      <c r="A25" s="4">
        <v>-9.04</v>
      </c>
      <c r="B25" s="4">
        <v>-1.66</v>
      </c>
      <c r="C25" s="5">
        <f t="shared" si="1"/>
        <v>1</v>
      </c>
    </row>
    <row r="26">
      <c r="A26" s="4">
        <v>-9.88</v>
      </c>
      <c r="B26" s="4">
        <v>-1.52</v>
      </c>
      <c r="C26" s="5">
        <f t="shared" si="1"/>
        <v>1</v>
      </c>
    </row>
    <row r="27">
      <c r="A27" s="4">
        <v>-9.67</v>
      </c>
      <c r="B27" s="4">
        <v>-0.37</v>
      </c>
      <c r="C27" s="5">
        <f t="shared" si="1"/>
        <v>1</v>
      </c>
    </row>
    <row r="28">
      <c r="A28" s="4">
        <v>-10.78</v>
      </c>
      <c r="B28" s="4">
        <v>-0.09</v>
      </c>
      <c r="C28" s="5">
        <f t="shared" si="1"/>
        <v>1</v>
      </c>
    </row>
    <row r="29">
      <c r="A29" s="4">
        <v>-10.73</v>
      </c>
      <c r="B29" s="4">
        <v>0.61</v>
      </c>
      <c r="C29" s="5">
        <f t="shared" si="1"/>
        <v>1</v>
      </c>
    </row>
    <row r="30">
      <c r="A30" s="4">
        <v>-9.87</v>
      </c>
      <c r="B30" s="4">
        <v>3.08</v>
      </c>
      <c r="C30" s="5">
        <f t="shared" si="1"/>
        <v>0</v>
      </c>
    </row>
    <row r="31">
      <c r="A31" s="4">
        <v>-9.59</v>
      </c>
      <c r="B31" s="4">
        <v>4.09</v>
      </c>
      <c r="C31" s="5">
        <f t="shared" si="1"/>
        <v>0</v>
      </c>
    </row>
    <row r="32">
      <c r="A32" s="4">
        <v>-9.24</v>
      </c>
      <c r="B32" s="4">
        <v>3.33</v>
      </c>
      <c r="C32" s="5">
        <f t="shared" si="1"/>
        <v>0</v>
      </c>
    </row>
    <row r="33">
      <c r="A33" s="4">
        <v>-7.3</v>
      </c>
      <c r="B33" s="4">
        <v>-1.58</v>
      </c>
      <c r="C33" s="5">
        <f t="shared" si="1"/>
        <v>0</v>
      </c>
    </row>
    <row r="34">
      <c r="A34" s="4">
        <v>-7.03</v>
      </c>
      <c r="B34" s="4">
        <v>-0.96</v>
      </c>
      <c r="C34" s="5">
        <f t="shared" si="1"/>
        <v>0</v>
      </c>
    </row>
    <row r="35">
      <c r="A35" s="4">
        <v>-9.57</v>
      </c>
      <c r="B35" s="4">
        <v>2.36</v>
      </c>
      <c r="C35" s="5">
        <f t="shared" si="1"/>
        <v>0</v>
      </c>
    </row>
    <row r="36">
      <c r="A36" s="4">
        <v>-9.16</v>
      </c>
      <c r="B36" s="4">
        <v>1.54</v>
      </c>
      <c r="C36" s="5">
        <f t="shared" si="1"/>
        <v>1</v>
      </c>
    </row>
    <row r="37">
      <c r="A37" s="4">
        <v>-8.75</v>
      </c>
      <c r="B37" s="4">
        <v>-5.88</v>
      </c>
      <c r="C37" s="5">
        <f t="shared" si="1"/>
        <v>0</v>
      </c>
    </row>
    <row r="38">
      <c r="A38" s="4">
        <v>-9.29</v>
      </c>
      <c r="B38" s="4">
        <v>-2.95</v>
      </c>
      <c r="C38" s="5">
        <f t="shared" si="1"/>
        <v>0</v>
      </c>
    </row>
    <row r="39">
      <c r="A39" s="4">
        <v>-8.37</v>
      </c>
      <c r="B39" s="4">
        <v>-2.66</v>
      </c>
      <c r="C39" s="5">
        <f t="shared" si="1"/>
        <v>0</v>
      </c>
    </row>
    <row r="40">
      <c r="A40" s="4">
        <v>-8.57</v>
      </c>
      <c r="B40" s="4">
        <v>-2.85</v>
      </c>
      <c r="C40" s="5">
        <f t="shared" si="1"/>
        <v>0</v>
      </c>
    </row>
    <row r="41">
      <c r="A41" s="4">
        <v>-9.05</v>
      </c>
      <c r="B41" s="4">
        <v>0.68</v>
      </c>
      <c r="C41" s="5">
        <f t="shared" si="1"/>
        <v>1</v>
      </c>
    </row>
    <row r="42">
      <c r="A42" s="4">
        <v>-9.63</v>
      </c>
      <c r="B42" s="4">
        <v>2.37</v>
      </c>
      <c r="C42" s="5">
        <f t="shared" si="1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D1" s="4" t="s">
        <v>11</v>
      </c>
      <c r="E1" s="4" t="s">
        <v>12</v>
      </c>
      <c r="F1" s="4" t="s">
        <v>13</v>
      </c>
      <c r="G1" s="4" t="s">
        <v>16</v>
      </c>
    </row>
    <row r="2">
      <c r="A2" s="6">
        <v>-16.71</v>
      </c>
      <c r="B2" s="6">
        <v>10.78</v>
      </c>
      <c r="C2" s="7">
        <f t="shared" ref="C2:C42" si="1">IF(AND(ABS(A2+10)&lt;5, ABS(B2-0)&lt;5), 1, 0)
</f>
        <v>0</v>
      </c>
      <c r="D2" s="5">
        <f>AVERAGE(A2:A42)
</f>
        <v>-14.60268293</v>
      </c>
      <c r="E2" s="5">
        <f>_xlfn.STDEV.S(A2:A42)
</f>
        <v>1.830855025</v>
      </c>
      <c r="F2" s="5">
        <f>(SUM(C2:C42)/COUNTA(C2:C42))*100
</f>
        <v>26.82926829</v>
      </c>
    </row>
    <row r="3">
      <c r="A3" s="6">
        <v>-16.36</v>
      </c>
      <c r="B3" s="6">
        <v>8.06</v>
      </c>
      <c r="C3" s="7">
        <f t="shared" si="1"/>
        <v>0</v>
      </c>
    </row>
    <row r="4">
      <c r="A4" s="6">
        <v>-15.66</v>
      </c>
      <c r="B4" s="6">
        <v>9.29</v>
      </c>
      <c r="C4" s="7">
        <f t="shared" si="1"/>
        <v>0</v>
      </c>
    </row>
    <row r="5">
      <c r="A5" s="6">
        <v>-17.99</v>
      </c>
      <c r="B5" s="6">
        <v>11.39</v>
      </c>
      <c r="C5" s="7">
        <f t="shared" si="1"/>
        <v>0</v>
      </c>
      <c r="D5" s="4" t="s">
        <v>14</v>
      </c>
      <c r="E5" s="4" t="s">
        <v>15</v>
      </c>
    </row>
    <row r="6">
      <c r="A6" s="6">
        <v>-17.31</v>
      </c>
      <c r="B6" s="6">
        <v>8.49</v>
      </c>
      <c r="C6" s="7">
        <f t="shared" si="1"/>
        <v>0</v>
      </c>
      <c r="D6" s="5">
        <f>AVERAGE(B2:B42)
</f>
        <v>6.118536585</v>
      </c>
      <c r="E6" s="5">
        <f>_xlfn.STDEV.S(B2:B42)
</f>
        <v>3.782769198</v>
      </c>
    </row>
    <row r="7">
      <c r="A7" s="6">
        <v>-13.3</v>
      </c>
      <c r="B7" s="6">
        <v>2.63</v>
      </c>
      <c r="C7" s="7">
        <f t="shared" si="1"/>
        <v>1</v>
      </c>
    </row>
    <row r="8">
      <c r="A8" s="6">
        <v>-16.37</v>
      </c>
      <c r="B8" s="6">
        <v>2.98</v>
      </c>
      <c r="C8" s="7">
        <f t="shared" si="1"/>
        <v>0</v>
      </c>
    </row>
    <row r="9">
      <c r="A9" s="6">
        <v>-16.47</v>
      </c>
      <c r="B9" s="6">
        <v>2.54</v>
      </c>
      <c r="C9" s="7">
        <f t="shared" si="1"/>
        <v>0</v>
      </c>
    </row>
    <row r="10">
      <c r="A10" s="6">
        <v>-15.84</v>
      </c>
      <c r="B10" s="6">
        <v>3.01</v>
      </c>
      <c r="C10" s="7">
        <f t="shared" si="1"/>
        <v>0</v>
      </c>
    </row>
    <row r="11">
      <c r="A11" s="6">
        <v>-13.56</v>
      </c>
      <c r="B11" s="6">
        <v>0.49</v>
      </c>
      <c r="C11" s="7">
        <f t="shared" si="1"/>
        <v>1</v>
      </c>
    </row>
    <row r="12">
      <c r="A12" s="6">
        <v>-12.88</v>
      </c>
      <c r="B12" s="6">
        <v>-3.28</v>
      </c>
      <c r="C12" s="7">
        <f t="shared" si="1"/>
        <v>1</v>
      </c>
    </row>
    <row r="13">
      <c r="A13" s="6">
        <v>-12.61</v>
      </c>
      <c r="B13" s="6">
        <v>-3.14</v>
      </c>
      <c r="C13" s="7">
        <f t="shared" si="1"/>
        <v>1</v>
      </c>
    </row>
    <row r="14">
      <c r="A14" s="6">
        <v>-11.7</v>
      </c>
      <c r="B14" s="6">
        <v>-0.27</v>
      </c>
      <c r="C14" s="7">
        <f t="shared" si="1"/>
        <v>1</v>
      </c>
    </row>
    <row r="15">
      <c r="A15" s="6">
        <v>-14.92</v>
      </c>
      <c r="B15" s="6">
        <v>2.53</v>
      </c>
      <c r="C15" s="7">
        <f t="shared" si="1"/>
        <v>1</v>
      </c>
    </row>
    <row r="16">
      <c r="A16" s="6">
        <v>-11.92</v>
      </c>
      <c r="B16" s="6">
        <v>1.92</v>
      </c>
      <c r="C16" s="7">
        <f t="shared" si="1"/>
        <v>1</v>
      </c>
    </row>
    <row r="17">
      <c r="A17" s="6">
        <v>-13.95</v>
      </c>
      <c r="B17" s="6">
        <v>5.05</v>
      </c>
      <c r="C17" s="7">
        <f t="shared" si="1"/>
        <v>0</v>
      </c>
    </row>
    <row r="18">
      <c r="A18" s="6">
        <v>-16.22</v>
      </c>
      <c r="B18" s="6">
        <v>5.99</v>
      </c>
      <c r="C18" s="7">
        <f t="shared" si="1"/>
        <v>0</v>
      </c>
    </row>
    <row r="19">
      <c r="A19" s="6">
        <v>-14.68</v>
      </c>
      <c r="B19" s="6">
        <v>5.92</v>
      </c>
      <c r="C19" s="7">
        <f t="shared" si="1"/>
        <v>0</v>
      </c>
    </row>
    <row r="20">
      <c r="A20" s="6">
        <v>-16.1</v>
      </c>
      <c r="B20" s="6">
        <v>8.41</v>
      </c>
      <c r="C20" s="7">
        <f t="shared" si="1"/>
        <v>0</v>
      </c>
    </row>
    <row r="21">
      <c r="A21" s="6">
        <v>-16.27</v>
      </c>
      <c r="B21" s="6">
        <v>8.61</v>
      </c>
      <c r="C21" s="7">
        <f t="shared" si="1"/>
        <v>0</v>
      </c>
    </row>
    <row r="22">
      <c r="A22" s="6">
        <v>-14.19</v>
      </c>
      <c r="B22" s="6">
        <v>7.16</v>
      </c>
      <c r="C22" s="7">
        <f t="shared" si="1"/>
        <v>0</v>
      </c>
    </row>
    <row r="23">
      <c r="A23" s="6">
        <v>-15.79</v>
      </c>
      <c r="B23" s="6">
        <v>8.75</v>
      </c>
      <c r="C23" s="7">
        <f t="shared" si="1"/>
        <v>0</v>
      </c>
    </row>
    <row r="24">
      <c r="A24" s="6">
        <v>-10.53</v>
      </c>
      <c r="B24" s="6">
        <v>2.04</v>
      </c>
      <c r="C24" s="7">
        <f t="shared" si="1"/>
        <v>1</v>
      </c>
    </row>
    <row r="25">
      <c r="A25" s="6">
        <v>-14.68</v>
      </c>
      <c r="B25" s="6">
        <v>5.92</v>
      </c>
      <c r="C25" s="7">
        <f t="shared" si="1"/>
        <v>0</v>
      </c>
    </row>
    <row r="26">
      <c r="A26" s="6">
        <v>-16.1</v>
      </c>
      <c r="B26" s="6">
        <v>8.41</v>
      </c>
      <c r="C26" s="7">
        <f t="shared" si="1"/>
        <v>0</v>
      </c>
    </row>
    <row r="27">
      <c r="A27" s="6">
        <v>-16.27</v>
      </c>
      <c r="B27" s="6">
        <v>8.61</v>
      </c>
      <c r="C27" s="7">
        <f t="shared" si="1"/>
        <v>0</v>
      </c>
    </row>
    <row r="28">
      <c r="A28" s="6">
        <v>-14.19</v>
      </c>
      <c r="B28" s="6">
        <v>7.16</v>
      </c>
      <c r="C28" s="7">
        <f t="shared" si="1"/>
        <v>0</v>
      </c>
    </row>
    <row r="29">
      <c r="A29" s="6">
        <v>-15.79</v>
      </c>
      <c r="B29" s="6">
        <v>8.75</v>
      </c>
      <c r="C29" s="7">
        <f t="shared" si="1"/>
        <v>0</v>
      </c>
    </row>
    <row r="30">
      <c r="A30" s="6">
        <v>-10.53</v>
      </c>
      <c r="B30" s="6">
        <v>2.04</v>
      </c>
      <c r="C30" s="7">
        <f t="shared" si="1"/>
        <v>1</v>
      </c>
    </row>
    <row r="31">
      <c r="A31" s="6">
        <v>-12.81</v>
      </c>
      <c r="B31" s="6">
        <v>4.96</v>
      </c>
      <c r="C31" s="7">
        <f t="shared" si="1"/>
        <v>1</v>
      </c>
    </row>
    <row r="32">
      <c r="A32" s="6">
        <v>-12.22</v>
      </c>
      <c r="B32" s="6">
        <v>4.35</v>
      </c>
      <c r="C32" s="7">
        <f t="shared" si="1"/>
        <v>1</v>
      </c>
    </row>
    <row r="33">
      <c r="A33" s="6">
        <v>-14.09</v>
      </c>
      <c r="B33" s="6">
        <v>8.22</v>
      </c>
      <c r="C33" s="7">
        <f t="shared" si="1"/>
        <v>0</v>
      </c>
    </row>
    <row r="34">
      <c r="A34" s="6">
        <v>-14.58</v>
      </c>
      <c r="B34" s="6">
        <v>8.92</v>
      </c>
      <c r="C34" s="7">
        <f t="shared" si="1"/>
        <v>0</v>
      </c>
    </row>
    <row r="35">
      <c r="A35" s="6">
        <v>-14.53</v>
      </c>
      <c r="B35" s="6">
        <v>10.22</v>
      </c>
      <c r="C35" s="7">
        <f t="shared" si="1"/>
        <v>0</v>
      </c>
    </row>
    <row r="36">
      <c r="A36" s="6">
        <v>-11.92</v>
      </c>
      <c r="B36" s="6">
        <v>8.44</v>
      </c>
      <c r="C36" s="7">
        <f t="shared" si="1"/>
        <v>0</v>
      </c>
    </row>
    <row r="37">
      <c r="A37" s="6">
        <v>-14.14</v>
      </c>
      <c r="B37" s="6">
        <v>10.05</v>
      </c>
      <c r="C37" s="7">
        <f t="shared" si="1"/>
        <v>0</v>
      </c>
    </row>
    <row r="38">
      <c r="A38" s="6">
        <v>-14.84</v>
      </c>
      <c r="B38" s="6">
        <v>8.79</v>
      </c>
      <c r="C38" s="7">
        <f t="shared" si="1"/>
        <v>0</v>
      </c>
    </row>
    <row r="39">
      <c r="A39" s="6">
        <v>-13.16</v>
      </c>
      <c r="B39" s="6">
        <v>6.75</v>
      </c>
      <c r="C39" s="7">
        <f t="shared" si="1"/>
        <v>0</v>
      </c>
    </row>
    <row r="40">
      <c r="A40" s="6">
        <v>-16.25</v>
      </c>
      <c r="B40" s="6">
        <v>11.09</v>
      </c>
      <c r="C40" s="7">
        <f t="shared" si="1"/>
        <v>0</v>
      </c>
    </row>
    <row r="41">
      <c r="A41" s="6">
        <v>-15.78</v>
      </c>
      <c r="B41" s="6">
        <v>9.28</v>
      </c>
      <c r="C41" s="7">
        <f t="shared" si="1"/>
        <v>0</v>
      </c>
    </row>
    <row r="42">
      <c r="A42" s="6">
        <v>-15.5</v>
      </c>
      <c r="B42" s="6">
        <v>9.55</v>
      </c>
      <c r="C42" s="7">
        <f t="shared" si="1"/>
        <v>0</v>
      </c>
    </row>
    <row r="43">
      <c r="A43" s="6"/>
      <c r="B43" s="6"/>
      <c r="C43" s="7"/>
    </row>
    <row r="44">
      <c r="A44" s="6"/>
      <c r="B44" s="6"/>
      <c r="C44" s="7"/>
    </row>
    <row r="45">
      <c r="A45" s="6"/>
      <c r="B45" s="6"/>
      <c r="C45" s="7"/>
    </row>
    <row r="46">
      <c r="A46" s="6"/>
      <c r="B46" s="6"/>
      <c r="C46" s="7"/>
    </row>
    <row r="47">
      <c r="A47" s="6"/>
      <c r="B47" s="6"/>
      <c r="C47" s="7"/>
    </row>
    <row r="48">
      <c r="A48" s="6"/>
      <c r="B48" s="6"/>
      <c r="C48" s="7"/>
    </row>
    <row r="49">
      <c r="A49" s="6"/>
      <c r="B49" s="6"/>
      <c r="C49" s="7"/>
    </row>
    <row r="50">
      <c r="A50" s="6"/>
      <c r="B50" s="6"/>
      <c r="C50" s="7"/>
    </row>
    <row r="51">
      <c r="A51" s="6"/>
      <c r="B51" s="6"/>
      <c r="C51" s="7"/>
    </row>
    <row r="52">
      <c r="A52" s="6"/>
      <c r="B52" s="6"/>
      <c r="C52" s="7"/>
    </row>
    <row r="53">
      <c r="A53" s="6"/>
      <c r="B53" s="6"/>
      <c r="C53" s="7"/>
    </row>
    <row r="54">
      <c r="A54" s="6"/>
      <c r="B54" s="6"/>
      <c r="C54" s="7"/>
    </row>
    <row r="55">
      <c r="A55" s="6"/>
      <c r="B55" s="6"/>
      <c r="C55" s="7"/>
    </row>
    <row r="56">
      <c r="A56" s="6"/>
      <c r="B56" s="6"/>
      <c r="C56" s="7"/>
    </row>
    <row r="57">
      <c r="A57" s="6"/>
      <c r="B57" s="6"/>
      <c r="C57" s="7"/>
    </row>
    <row r="58">
      <c r="A58" s="6"/>
      <c r="B58" s="6"/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</v>
      </c>
      <c r="B1" s="4" t="s">
        <v>10</v>
      </c>
      <c r="D1" s="4" t="s">
        <v>11</v>
      </c>
      <c r="E1" s="4" t="s">
        <v>12</v>
      </c>
      <c r="F1" s="4" t="s">
        <v>13</v>
      </c>
      <c r="G1" s="4" t="s">
        <v>16</v>
      </c>
    </row>
    <row r="2">
      <c r="A2" s="4">
        <v>-16.71</v>
      </c>
      <c r="B2" s="4">
        <v>10.78</v>
      </c>
      <c r="C2" s="5">
        <f t="shared" ref="C2:C42" si="1">IF(AND(ABS(A2+10)&lt;8, ABS(B2-0)&lt;8), 1, 0)
</f>
        <v>0</v>
      </c>
      <c r="D2" s="5">
        <f>AVERAGE(A2:A42)
</f>
        <v>-14.60268293</v>
      </c>
      <c r="E2" s="5">
        <f>_xlfn.STDEV.S(A2:A42)
</f>
        <v>1.830855025</v>
      </c>
      <c r="F2" s="5">
        <f>(SUM(C2:C42)/COUNTA(C2:C42))*100
</f>
        <v>51.2195122</v>
      </c>
    </row>
    <row r="3">
      <c r="A3" s="4">
        <v>-16.36</v>
      </c>
      <c r="B3" s="4">
        <v>8.06</v>
      </c>
      <c r="C3" s="5">
        <f t="shared" si="1"/>
        <v>0</v>
      </c>
    </row>
    <row r="4">
      <c r="A4" s="4">
        <v>-15.66</v>
      </c>
      <c r="B4" s="4">
        <v>9.29</v>
      </c>
      <c r="C4" s="5">
        <f t="shared" si="1"/>
        <v>0</v>
      </c>
    </row>
    <row r="5">
      <c r="A5" s="4">
        <v>-17.99</v>
      </c>
      <c r="B5" s="4">
        <v>11.39</v>
      </c>
      <c r="C5" s="5">
        <f t="shared" si="1"/>
        <v>0</v>
      </c>
      <c r="D5" s="4" t="s">
        <v>14</v>
      </c>
      <c r="E5" s="4" t="s">
        <v>15</v>
      </c>
    </row>
    <row r="6">
      <c r="A6" s="4">
        <v>-17.31</v>
      </c>
      <c r="B6" s="4">
        <v>8.49</v>
      </c>
      <c r="C6" s="5">
        <f t="shared" si="1"/>
        <v>0</v>
      </c>
      <c r="D6" s="5">
        <f>AVERAGE(B2:B42)
</f>
        <v>6.118536585</v>
      </c>
      <c r="E6" s="5">
        <f>_xlfn.STDEV.S(B2:B42)
</f>
        <v>3.782769198</v>
      </c>
    </row>
    <row r="7">
      <c r="A7" s="4">
        <v>-13.3</v>
      </c>
      <c r="B7" s="4">
        <v>2.63</v>
      </c>
      <c r="C7" s="5">
        <f t="shared" si="1"/>
        <v>1</v>
      </c>
    </row>
    <row r="8">
      <c r="A8" s="4">
        <v>-16.37</v>
      </c>
      <c r="B8" s="4">
        <v>2.98</v>
      </c>
      <c r="C8" s="5">
        <f t="shared" si="1"/>
        <v>1</v>
      </c>
    </row>
    <row r="9">
      <c r="A9" s="4">
        <v>-16.47</v>
      </c>
      <c r="B9" s="4">
        <v>2.54</v>
      </c>
      <c r="C9" s="5">
        <f t="shared" si="1"/>
        <v>1</v>
      </c>
    </row>
    <row r="10">
      <c r="A10" s="4">
        <v>-15.84</v>
      </c>
      <c r="B10" s="4">
        <v>3.01</v>
      </c>
      <c r="C10" s="5">
        <f t="shared" si="1"/>
        <v>1</v>
      </c>
    </row>
    <row r="11">
      <c r="A11" s="4">
        <v>-13.56</v>
      </c>
      <c r="B11" s="4">
        <v>0.49</v>
      </c>
      <c r="C11" s="5">
        <f t="shared" si="1"/>
        <v>1</v>
      </c>
    </row>
    <row r="12">
      <c r="A12" s="4">
        <v>-12.88</v>
      </c>
      <c r="B12" s="4">
        <v>-3.28</v>
      </c>
      <c r="C12" s="5">
        <f t="shared" si="1"/>
        <v>1</v>
      </c>
    </row>
    <row r="13">
      <c r="A13" s="4">
        <v>-12.61</v>
      </c>
      <c r="B13" s="4">
        <v>-3.14</v>
      </c>
      <c r="C13" s="5">
        <f t="shared" si="1"/>
        <v>1</v>
      </c>
    </row>
    <row r="14">
      <c r="A14" s="4">
        <v>-11.7</v>
      </c>
      <c r="B14" s="4">
        <v>-0.27</v>
      </c>
      <c r="C14" s="5">
        <f t="shared" si="1"/>
        <v>1</v>
      </c>
    </row>
    <row r="15">
      <c r="A15" s="4">
        <v>-14.92</v>
      </c>
      <c r="B15" s="4">
        <v>2.53</v>
      </c>
      <c r="C15" s="5">
        <f t="shared" si="1"/>
        <v>1</v>
      </c>
    </row>
    <row r="16">
      <c r="A16" s="4">
        <v>-11.92</v>
      </c>
      <c r="B16" s="4">
        <v>1.92</v>
      </c>
      <c r="C16" s="5">
        <f t="shared" si="1"/>
        <v>1</v>
      </c>
    </row>
    <row r="17">
      <c r="A17" s="4">
        <v>-13.95</v>
      </c>
      <c r="B17" s="4">
        <v>5.05</v>
      </c>
      <c r="C17" s="5">
        <f t="shared" si="1"/>
        <v>1</v>
      </c>
    </row>
    <row r="18">
      <c r="A18" s="4">
        <v>-16.22</v>
      </c>
      <c r="B18" s="4">
        <v>5.99</v>
      </c>
      <c r="C18" s="5">
        <f t="shared" si="1"/>
        <v>1</v>
      </c>
    </row>
    <row r="19">
      <c r="A19" s="4">
        <v>-14.68</v>
      </c>
      <c r="B19" s="4">
        <v>5.92</v>
      </c>
      <c r="C19" s="5">
        <f t="shared" si="1"/>
        <v>1</v>
      </c>
    </row>
    <row r="20">
      <c r="A20" s="4">
        <v>-16.1</v>
      </c>
      <c r="B20" s="4">
        <v>8.41</v>
      </c>
      <c r="C20" s="5">
        <f t="shared" si="1"/>
        <v>0</v>
      </c>
    </row>
    <row r="21">
      <c r="A21" s="4">
        <v>-16.27</v>
      </c>
      <c r="B21" s="4">
        <v>8.61</v>
      </c>
      <c r="C21" s="5">
        <f t="shared" si="1"/>
        <v>0</v>
      </c>
    </row>
    <row r="22">
      <c r="A22" s="4">
        <v>-14.19</v>
      </c>
      <c r="B22" s="4">
        <v>7.16</v>
      </c>
      <c r="C22" s="5">
        <f t="shared" si="1"/>
        <v>1</v>
      </c>
    </row>
    <row r="23">
      <c r="A23" s="4">
        <v>-15.79</v>
      </c>
      <c r="B23" s="4">
        <v>8.75</v>
      </c>
      <c r="C23" s="5">
        <f t="shared" si="1"/>
        <v>0</v>
      </c>
    </row>
    <row r="24">
      <c r="A24" s="4">
        <v>-10.53</v>
      </c>
      <c r="B24" s="4">
        <v>2.04</v>
      </c>
      <c r="C24" s="5">
        <f t="shared" si="1"/>
        <v>1</v>
      </c>
    </row>
    <row r="25">
      <c r="A25" s="4">
        <v>-14.68</v>
      </c>
      <c r="B25" s="4">
        <v>5.92</v>
      </c>
      <c r="C25" s="5">
        <f t="shared" si="1"/>
        <v>1</v>
      </c>
    </row>
    <row r="26">
      <c r="A26" s="4">
        <v>-16.1</v>
      </c>
      <c r="B26" s="4">
        <v>8.41</v>
      </c>
      <c r="C26" s="5">
        <f t="shared" si="1"/>
        <v>0</v>
      </c>
    </row>
    <row r="27">
      <c r="A27" s="4">
        <v>-16.27</v>
      </c>
      <c r="B27" s="4">
        <v>8.61</v>
      </c>
      <c r="C27" s="5">
        <f t="shared" si="1"/>
        <v>0</v>
      </c>
    </row>
    <row r="28">
      <c r="A28" s="4">
        <v>-14.19</v>
      </c>
      <c r="B28" s="4">
        <v>7.16</v>
      </c>
      <c r="C28" s="5">
        <f t="shared" si="1"/>
        <v>1</v>
      </c>
    </row>
    <row r="29">
      <c r="A29" s="4">
        <v>-15.79</v>
      </c>
      <c r="B29" s="4">
        <v>8.75</v>
      </c>
      <c r="C29" s="5">
        <f t="shared" si="1"/>
        <v>0</v>
      </c>
    </row>
    <row r="30">
      <c r="A30" s="4">
        <v>-10.53</v>
      </c>
      <c r="B30" s="4">
        <v>2.04</v>
      </c>
      <c r="C30" s="5">
        <f t="shared" si="1"/>
        <v>1</v>
      </c>
    </row>
    <row r="31">
      <c r="A31" s="4">
        <v>-12.81</v>
      </c>
      <c r="B31" s="4">
        <v>4.96</v>
      </c>
      <c r="C31" s="5">
        <f t="shared" si="1"/>
        <v>1</v>
      </c>
    </row>
    <row r="32">
      <c r="A32" s="4">
        <v>-12.22</v>
      </c>
      <c r="B32" s="4">
        <v>4.35</v>
      </c>
      <c r="C32" s="5">
        <f t="shared" si="1"/>
        <v>1</v>
      </c>
    </row>
    <row r="33">
      <c r="A33" s="4">
        <v>-14.09</v>
      </c>
      <c r="B33" s="4">
        <v>8.22</v>
      </c>
      <c r="C33" s="5">
        <f t="shared" si="1"/>
        <v>0</v>
      </c>
    </row>
    <row r="34">
      <c r="A34" s="4">
        <v>-14.58</v>
      </c>
      <c r="B34" s="4">
        <v>8.92</v>
      </c>
      <c r="C34" s="5">
        <f t="shared" si="1"/>
        <v>0</v>
      </c>
    </row>
    <row r="35">
      <c r="A35" s="4">
        <v>-14.53</v>
      </c>
      <c r="B35" s="4">
        <v>10.22</v>
      </c>
      <c r="C35" s="5">
        <f t="shared" si="1"/>
        <v>0</v>
      </c>
    </row>
    <row r="36">
      <c r="A36" s="4">
        <v>-11.92</v>
      </c>
      <c r="B36" s="4">
        <v>8.44</v>
      </c>
      <c r="C36" s="5">
        <f t="shared" si="1"/>
        <v>0</v>
      </c>
    </row>
    <row r="37">
      <c r="A37" s="4">
        <v>-14.14</v>
      </c>
      <c r="B37" s="4">
        <v>10.05</v>
      </c>
      <c r="C37" s="5">
        <f t="shared" si="1"/>
        <v>0</v>
      </c>
    </row>
    <row r="38">
      <c r="A38" s="4">
        <v>-14.84</v>
      </c>
      <c r="B38" s="4">
        <v>8.79</v>
      </c>
      <c r="C38" s="5">
        <f t="shared" si="1"/>
        <v>0</v>
      </c>
    </row>
    <row r="39">
      <c r="A39" s="4">
        <v>-13.16</v>
      </c>
      <c r="B39" s="4">
        <v>6.75</v>
      </c>
      <c r="C39" s="5">
        <f t="shared" si="1"/>
        <v>1</v>
      </c>
    </row>
    <row r="40">
      <c r="A40" s="4">
        <v>-16.25</v>
      </c>
      <c r="B40" s="4">
        <v>11.09</v>
      </c>
      <c r="C40" s="5">
        <f t="shared" si="1"/>
        <v>0</v>
      </c>
    </row>
    <row r="41">
      <c r="A41" s="4">
        <v>-15.78</v>
      </c>
      <c r="B41" s="4">
        <v>9.28</v>
      </c>
      <c r="C41" s="5">
        <f t="shared" si="1"/>
        <v>0</v>
      </c>
    </row>
    <row r="42">
      <c r="A42" s="4">
        <v>-15.5</v>
      </c>
      <c r="B42" s="4">
        <v>9.55</v>
      </c>
      <c r="C42" s="5">
        <f t="shared" si="1"/>
        <v>0</v>
      </c>
    </row>
  </sheetData>
  <drawing r:id="rId1"/>
</worksheet>
</file>